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Stage Raw" sheetId="1" state="visible" r:id="rId1"/>
    <sheet xmlns:r="http://schemas.openxmlformats.org/officeDocument/2006/relationships" name="5-Stage Raw" sheetId="2" state="visible" r:id="rId2"/>
    <sheet xmlns:r="http://schemas.openxmlformats.org/officeDocument/2006/relationships" name="7-Stage Raw" sheetId="3" state="visible" r:id="rId3"/>
    <sheet xmlns:r="http://schemas.openxmlformats.org/officeDocument/2006/relationships" name="Frequency Comparis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Frequency vs Control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'Frequency Comparison'!B1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'Frequency Comparison'!$A$2:$A$6</f>
            </numRef>
          </cat>
          <val>
            <numRef>
              <f>'Frequency Comparison'!$B$2:$B$6</f>
            </numRef>
          </val>
        </ser>
        <ser>
          <idx val="1"/>
          <order val="1"/>
          <tx>
            <strRef>
              <f>'Frequency Comparison'!C1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'Frequency Comparison'!$A$2:$A$6</f>
            </numRef>
          </cat>
          <val>
            <numRef>
              <f>'Frequency Comparison'!$C$2:$C$6</f>
            </numRef>
          </val>
        </ser>
        <ser>
          <idx val="2"/>
          <order val="2"/>
          <tx>
            <strRef>
              <f>'Frequency Comparison'!D1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'Frequency Comparison'!$A$2:$A$6</f>
            </numRef>
          </cat>
          <val>
            <numRef>
              <f>'Frequency Comparison'!$D$2:$D$6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Vctrl (V)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(MHz)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Vctrl (V)</t>
        </is>
      </c>
      <c r="B1" s="2" t="inlineStr">
        <is>
          <t>gm1 (mS)</t>
        </is>
      </c>
      <c r="C1" s="2" t="inlineStr">
        <is>
          <t>gm2 (mS)</t>
        </is>
      </c>
      <c r="D1" s="2" t="inlineStr">
        <is>
          <t>Δgm (mS)</t>
        </is>
      </c>
      <c r="E1" s="2" t="inlineStr">
        <is>
          <t>Frequency (GHz)</t>
        </is>
      </c>
    </row>
    <row r="2">
      <c r="A2" t="n">
        <v>0.5</v>
      </c>
    </row>
    <row r="3">
      <c r="A3" t="n">
        <v>0.6879999999999999</v>
      </c>
      <c r="B3" t="n">
        <v>3.2886</v>
      </c>
      <c r="C3" t="n">
        <v>3.7506</v>
      </c>
      <c r="D3" t="n">
        <v>0.462</v>
      </c>
      <c r="E3" t="n">
        <v>2.144</v>
      </c>
    </row>
    <row r="4">
      <c r="A4" t="n">
        <v>0.947</v>
      </c>
      <c r="B4" t="n">
        <v>3.5426</v>
      </c>
      <c r="C4" t="n">
        <v>3.79319</v>
      </c>
      <c r="D4" t="n">
        <v>0.25059</v>
      </c>
      <c r="E4" t="n">
        <v>3.996</v>
      </c>
    </row>
    <row r="5">
      <c r="A5" t="n">
        <v>1.306</v>
      </c>
      <c r="B5" t="n">
        <v>3.64226</v>
      </c>
      <c r="C5" t="n">
        <v>3.86956</v>
      </c>
      <c r="D5" t="n">
        <v>0.2273</v>
      </c>
      <c r="E5" t="n">
        <v>4.3996</v>
      </c>
    </row>
    <row r="6">
      <c r="A6" t="n">
        <v>1.8</v>
      </c>
      <c r="B6" t="n">
        <v>3.51944</v>
      </c>
      <c r="C6" t="n">
        <v>3.7501</v>
      </c>
      <c r="D6" t="n">
        <v>0.2307</v>
      </c>
      <c r="E6" t="n">
        <v>4.334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Vctrl (V)</t>
        </is>
      </c>
      <c r="B1" s="2" t="inlineStr">
        <is>
          <t>M1 (ns)</t>
        </is>
      </c>
      <c r="C1" s="2" t="inlineStr">
        <is>
          <t>M2 (ns)</t>
        </is>
      </c>
      <c r="D1" s="2" t="inlineStr">
        <is>
          <t>ΔT (ns)</t>
        </is>
      </c>
      <c r="E1" s="2" t="inlineStr">
        <is>
          <t>Frequency</t>
        </is>
      </c>
    </row>
    <row r="2">
      <c r="A2" t="n">
        <v>0.5</v>
      </c>
      <c r="B2" t="n">
        <v>33.534</v>
      </c>
      <c r="C2" t="n">
        <v>45.8983</v>
      </c>
      <c r="D2" t="n">
        <v>12.3643</v>
      </c>
      <c r="E2" t="inlineStr">
        <is>
          <t>80.87 MHz</t>
        </is>
      </c>
    </row>
    <row r="3">
      <c r="A3" t="n">
        <v>0.6879999999999999</v>
      </c>
      <c r="B3" t="n">
        <v>32.2077</v>
      </c>
      <c r="C3" t="n">
        <v>33.2045</v>
      </c>
      <c r="D3" t="n">
        <v>0.9968</v>
      </c>
      <c r="E3" t="inlineStr">
        <is>
          <t>1.003 GHz</t>
        </is>
      </c>
    </row>
    <row r="4">
      <c r="A4" t="n">
        <v>0.947</v>
      </c>
      <c r="B4" t="n">
        <v>31.7953</v>
      </c>
      <c r="C4" t="n">
        <v>32.2775</v>
      </c>
      <c r="D4" t="n">
        <v>0.4822</v>
      </c>
      <c r="E4" t="inlineStr">
        <is>
          <t>2.073 GHz</t>
        </is>
      </c>
    </row>
    <row r="5">
      <c r="A5" t="n">
        <v>1.306</v>
      </c>
      <c r="B5" t="n">
        <v>31.3413</v>
      </c>
      <c r="C5" t="n">
        <v>31.7566</v>
      </c>
      <c r="D5" t="n">
        <v>0.41536</v>
      </c>
      <c r="E5" t="inlineStr">
        <is>
          <t>2.406 GHz</t>
        </is>
      </c>
    </row>
    <row r="6">
      <c r="A6" t="n">
        <v>1.8</v>
      </c>
      <c r="B6" t="n">
        <v>31.1933</v>
      </c>
      <c r="C6" t="n">
        <v>31.608</v>
      </c>
      <c r="D6" t="n">
        <v>0.4147</v>
      </c>
      <c r="E6" t="inlineStr">
        <is>
          <t>2.411 GHz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Vctrl (V)</t>
        </is>
      </c>
      <c r="B1" s="2" t="inlineStr">
        <is>
          <t>gm1 (mS)</t>
        </is>
      </c>
      <c r="C1" s="2" t="inlineStr">
        <is>
          <t>gm2 (mS)</t>
        </is>
      </c>
      <c r="D1" s="2" t="inlineStr">
        <is>
          <t>Δgm (mS)</t>
        </is>
      </c>
      <c r="E1" s="2" t="inlineStr">
        <is>
          <t>Frequency</t>
        </is>
      </c>
    </row>
    <row r="2">
      <c r="A2" t="n">
        <v>0.5</v>
      </c>
      <c r="B2" t="n">
        <v>12.7156</v>
      </c>
      <c r="C2" t="n">
        <v>29.9742</v>
      </c>
      <c r="D2" t="n">
        <v>17.2586</v>
      </c>
      <c r="E2" t="inlineStr">
        <is>
          <t>57.9 MHz</t>
        </is>
      </c>
    </row>
    <row r="3">
      <c r="A3" t="n">
        <v>0.6879999999999999</v>
      </c>
      <c r="B3" t="n">
        <v>9.3935</v>
      </c>
      <c r="C3" t="n">
        <v>10.9937</v>
      </c>
      <c r="D3" t="n">
        <v>1.6002</v>
      </c>
      <c r="E3" t="inlineStr">
        <is>
          <t>624.9 MHz</t>
        </is>
      </c>
    </row>
    <row r="4">
      <c r="A4" t="n">
        <v>0.947</v>
      </c>
      <c r="B4" t="n">
        <v>14.3353</v>
      </c>
      <c r="C4" t="n">
        <v>15.0243</v>
      </c>
      <c r="D4" t="n">
        <v>0.6889999999999999</v>
      </c>
      <c r="E4" t="inlineStr">
        <is>
          <t>1.456 GHz</t>
        </is>
      </c>
    </row>
    <row r="5">
      <c r="A5" t="n">
        <v>1.306</v>
      </c>
      <c r="B5" t="n">
        <v>13.9764</v>
      </c>
      <c r="C5" t="n">
        <v>14.583</v>
      </c>
      <c r="D5" t="n">
        <v>0.6066</v>
      </c>
      <c r="E5" t="inlineStr">
        <is>
          <t>1.646 GHz</t>
        </is>
      </c>
    </row>
    <row r="6">
      <c r="A6" t="n">
        <v>1.8</v>
      </c>
      <c r="B6" t="n">
        <v>14.0855</v>
      </c>
      <c r="C6" t="n">
        <v>14.7371</v>
      </c>
      <c r="D6" t="n">
        <v>0.6516</v>
      </c>
      <c r="E6" t="inlineStr">
        <is>
          <t>1.534 GHz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Vctrl (V)</t>
        </is>
      </c>
      <c r="B1" s="2" t="inlineStr">
        <is>
          <t>3-Stage Frequency (MHz)</t>
        </is>
      </c>
      <c r="C1" s="2" t="inlineStr">
        <is>
          <t>5-Stage Frequency (MHz)</t>
        </is>
      </c>
      <c r="D1" s="2" t="inlineStr">
        <is>
          <t>7-Stage Frequency (MHz)</t>
        </is>
      </c>
    </row>
    <row r="2">
      <c r="A2" t="n">
        <v>0.5</v>
      </c>
      <c r="C2" t="n">
        <v>80.87</v>
      </c>
      <c r="D2" t="n">
        <v>57.9</v>
      </c>
    </row>
    <row r="3">
      <c r="A3" t="n">
        <v>0.6879999999999999</v>
      </c>
      <c r="B3" t="n">
        <v>2.144</v>
      </c>
      <c r="C3" t="n">
        <v>1003</v>
      </c>
      <c r="D3" t="n">
        <v>624.9</v>
      </c>
    </row>
    <row r="4">
      <c r="A4" t="n">
        <v>0.947</v>
      </c>
      <c r="B4" t="n">
        <v>3.996</v>
      </c>
      <c r="C4" t="n">
        <v>2073</v>
      </c>
      <c r="D4" t="n">
        <v>1456</v>
      </c>
    </row>
    <row r="5">
      <c r="A5" t="n">
        <v>1.306</v>
      </c>
      <c r="B5" t="n">
        <v>4.3996</v>
      </c>
      <c r="C5" t="n">
        <v>2406</v>
      </c>
      <c r="D5" t="n">
        <v>1646</v>
      </c>
    </row>
    <row r="6">
      <c r="A6" t="n">
        <v>1.8</v>
      </c>
      <c r="B6" t="n">
        <v>4.334</v>
      </c>
      <c r="C6" t="n">
        <v>2411</v>
      </c>
      <c r="D6" t="n">
        <v>1534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9" customWidth="1" min="3" max="3"/>
    <col width="21" customWidth="1" min="4" max="4"/>
  </cols>
  <sheetData>
    <row r="1">
      <c r="A1" s="2" t="inlineStr">
        <is>
          <t>Parameter</t>
        </is>
      </c>
      <c r="B1" s="2" t="inlineStr">
        <is>
          <t>3-Stage</t>
        </is>
      </c>
      <c r="C1" s="2" t="inlineStr">
        <is>
          <t>5-Stage</t>
        </is>
      </c>
      <c r="D1" s="2" t="inlineStr">
        <is>
          <t>7-Stage</t>
        </is>
      </c>
    </row>
    <row r="2">
      <c r="A2" t="inlineStr">
        <is>
          <t>Number of stages</t>
        </is>
      </c>
      <c r="B2" t="n">
        <v>3</v>
      </c>
      <c r="C2" t="n">
        <v>5</v>
      </c>
      <c r="D2" t="n">
        <v>7</v>
      </c>
    </row>
    <row r="3">
      <c r="A3" t="inlineStr">
        <is>
          <t>Minimum measured frequency</t>
        </is>
      </c>
      <c r="B3" t="inlineStr">
        <is>
          <t>No sustained oscillation at 0.5 V; lowest measured = 2.144 GHz @ 0.688 V</t>
        </is>
      </c>
      <c r="C3" t="inlineStr">
        <is>
          <t>80.87 MHz @ 0.5 V</t>
        </is>
      </c>
      <c r="D3" t="inlineStr">
        <is>
          <t>57.9 MHz @ 0.5 V</t>
        </is>
      </c>
    </row>
    <row r="4">
      <c r="A4" t="inlineStr">
        <is>
          <t>Maximum measured frequency</t>
        </is>
      </c>
      <c r="B4" t="inlineStr">
        <is>
          <t>4.3996 GHz @ 1.306 V</t>
        </is>
      </c>
      <c r="C4" t="inlineStr">
        <is>
          <t>2.411 GHz @ 1.8 V</t>
        </is>
      </c>
      <c r="D4" t="inlineStr">
        <is>
          <t>1.646 GHz @ 1.306 V</t>
        </is>
      </c>
    </row>
    <row r="5">
      <c r="A5" t="inlineStr">
        <is>
          <t>Measured tuning range</t>
        </is>
      </c>
      <c r="B5" t="inlineStr">
        <is>
          <t>2.2556 GHz (from 0.688 to 1.306 V)</t>
        </is>
      </c>
      <c r="C5" t="inlineStr">
        <is>
          <t>2.33013 GHz</t>
        </is>
      </c>
      <c r="D5" t="inlineStr">
        <is>
          <t>1.5881 GHz</t>
        </is>
      </c>
    </row>
    <row r="6">
      <c r="A6" t="inlineStr">
        <is>
          <t>Frequency at 0.5 V</t>
        </is>
      </c>
      <c r="B6" t="inlineStr">
        <is>
          <t>No sustained oscillation</t>
        </is>
      </c>
      <c r="C6" t="inlineStr">
        <is>
          <t>80.87 MHz</t>
        </is>
      </c>
      <c r="D6" t="inlineStr">
        <is>
          <t>57.9 MHz</t>
        </is>
      </c>
    </row>
    <row r="7">
      <c r="A7" t="inlineStr">
        <is>
          <t>Frequency at 0.688 V</t>
        </is>
      </c>
      <c r="B7" t="inlineStr">
        <is>
          <t>2.144 GHz</t>
        </is>
      </c>
      <c r="C7" t="inlineStr">
        <is>
          <t>1.003 GHz</t>
        </is>
      </c>
      <c r="D7" t="inlineStr">
        <is>
          <t>624.9 MHz</t>
        </is>
      </c>
    </row>
    <row r="8">
      <c r="A8" t="inlineStr">
        <is>
          <t>Frequency at 0.947 V</t>
        </is>
      </c>
      <c r="B8" t="inlineStr">
        <is>
          <t>3.996 GHz</t>
        </is>
      </c>
      <c r="C8" t="inlineStr">
        <is>
          <t>2.073 GHz</t>
        </is>
      </c>
      <c r="D8" t="inlineStr">
        <is>
          <t>1.456 GHz</t>
        </is>
      </c>
    </row>
    <row r="9">
      <c r="A9" t="inlineStr">
        <is>
          <t>Frequency at 1.306 V</t>
        </is>
      </c>
      <c r="B9" t="inlineStr">
        <is>
          <t>4.3996 GHz</t>
        </is>
      </c>
      <c r="C9" t="inlineStr">
        <is>
          <t>2.406 GHz</t>
        </is>
      </c>
      <c r="D9" t="inlineStr">
        <is>
          <t>1.646 GHz</t>
        </is>
      </c>
    </row>
    <row r="10">
      <c r="A10" t="inlineStr">
        <is>
          <t>Frequency at 1.8 V</t>
        </is>
      </c>
      <c r="B10" t="inlineStr">
        <is>
          <t>4.334 GHz</t>
        </is>
      </c>
      <c r="C10" t="inlineStr">
        <is>
          <t>2.411 GHz</t>
        </is>
      </c>
      <c r="D10" t="inlineStr">
        <is>
          <t>1.534 GHz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2026-08-10T19:30:51Z</dcterms:created>
  <dcterms:modified xmlns:dcterms="http://purl.org/dc/terms/" xmlns:xsi="http://www.w3.org/2001/XMLSchema-instance" xsi:type="dcterms:W3CDTF">2026-08-10T19:30:51Z</dcterms:modified>
</cp:coreProperties>
</file>